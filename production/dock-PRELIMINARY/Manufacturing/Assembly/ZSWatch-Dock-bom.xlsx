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'Costs'!$H$20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19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19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0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<sst xmlns="http://schemas.openxmlformats.org/spreadsheetml/2006/main" count="181" uniqueCount="123">
  <si>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</si>
  <si>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</si>
  <si>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</si>
  <si>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</si>
  <si>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</si>
  <si>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</si>
  <si>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</si>
  <si>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</si>
  <si>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</si>
  <si>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C402</t>
  </si>
  <si>
    <t>KYOCERA AVX</t>
  </si>
  <si>
    <t>0603YD225KAT4A</t>
  </si>
  <si>
    <t>https://www.mouser.de/datasheet/2/40/cx5r_KGM-3223198.pdf</t>
  </si>
  <si>
    <t>C_0603_1608Metric</t>
  </si>
  <si>
    <t>Unpolarized capacitor, small symbol</t>
  </si>
  <si>
    <t>2</t>
  </si>
  <si>
    <t>IC401</t>
  </si>
  <si>
    <t>Texas Instruments</t>
  </si>
  <si>
    <t>TLV70218DBVRG4</t>
  </si>
  <si>
    <t>http://www.ti.com/lit/ds/symlink/tlv702.pdf</t>
  </si>
  <si>
    <t>SOT-23-5</t>
  </si>
  <si>
    <t>300mA Low Dropout Voltage Regulator, Fixed Output 1.8V, SOT-23-5</t>
  </si>
  <si>
    <t>3</t>
  </si>
  <si>
    <t>J1 J402</t>
  </si>
  <si>
    <t>Amphenol FCI</t>
  </si>
  <si>
    <t>10129378-936001BLF</t>
  </si>
  <si>
    <t>https://cdn.amphenol-cs.com/media/wysiwyg/files/documentation/datasheet/boardwiretoboard/bwb_econostik_254headers.pdf</t>
  </si>
  <si>
    <t>PinHeader_1x04_P2.54mm_Vertical</t>
  </si>
  <si>
    <t>Generic connector, single row, 01x03, script generated (kicad-library-utils/schlib/autogen/connector/)</t>
  </si>
  <si>
    <t>4</t>
  </si>
  <si>
    <t>R418</t>
  </si>
  <si>
    <t>Bourns</t>
  </si>
  <si>
    <t>CR0805-J/-000ELF</t>
  </si>
  <si>
    <t>https://www.mouser.de/datasheet/2/54/cr-1858361.pdf</t>
  </si>
  <si>
    <t>R_0805_2012Metric</t>
  </si>
  <si>
    <t>Resistor, small symbol</t>
  </si>
  <si>
    <t>5</t>
  </si>
  <si>
    <t>R409 R410</t>
  </si>
  <si>
    <t>Vishay</t>
  </si>
  <si>
    <t>CRCW06035K10FKEA</t>
  </si>
  <si>
    <t>https://www.vishay.com/doc?20035</t>
  </si>
  <si>
    <t>R_0603_1608Metric</t>
  </si>
  <si>
    <t>6</t>
  </si>
  <si>
    <t>X401</t>
  </si>
  <si>
    <t>Wurth Elektronik</t>
  </si>
  <si>
    <t>62101021021</t>
  </si>
  <si>
    <t>https://www.we-online.com/components/products/datasheet/62101021021.pdf</t>
  </si>
  <si>
    <t>SHF-105-01-L-D-SM-TR</t>
  </si>
  <si>
    <t>Cortex Debug Connector, standard ARM Cortex-M SWD and JTAG interface</t>
  </si>
  <si>
    <t>7</t>
  </si>
  <si>
    <t>X404</t>
  </si>
  <si>
    <t>GlobTek, Inc.</t>
  </si>
  <si>
    <t>PLUG-USBC-241SMT-4BC2SS</t>
  </si>
  <si>
    <t>https://spec.globtek.info/spec/pdf/2342615/d2760418</t>
  </si>
  <si>
    <t>USB Full-Featured Type-C edge connector</t>
  </si>
  <si>
    <t>8</t>
  </si>
  <si>
    <t>X403</t>
  </si>
  <si>
    <t>Amphenol Commercial Products</t>
  </si>
  <si>
    <t>12401610E4-2A</t>
  </si>
  <si>
    <t>https://www.usb.org/sites/default/files/documents/usb_type-c.zip</t>
  </si>
  <si>
    <t>USB_C_Receptacle_Amphenol_12401610E4-2A</t>
  </si>
  <si>
    <t>USB Full-Featured Type-C Receptacle connector</t>
  </si>
  <si>
    <t>Bill of Materials</t>
  </si>
  <si>
    <t>Schematic:</t>
  </si>
  <si>
    <t>ZSWatch-Dock</t>
  </si>
  <si>
    <t>Variant:</t>
  </si>
  <si>
    <t>PRELIMINARY</t>
  </si>
  <si>
    <t>Revision:</t>
  </si>
  <si>
    <t/>
  </si>
  <si>
    <t>Date:</t>
  </si>
  <si>
    <t>2025-07-13</t>
  </si>
  <si>
    <t>KiCad Version:</t>
  </si>
  <si>
    <t>9.0.6+1</t>
  </si>
  <si>
    <t>Component Groups:</t>
  </si>
  <si>
    <t>Component Count:</t>
  </si>
  <si>
    <t>10 (8 SMD/ 2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</si>
  <si>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</si>
  <si>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</si>
  <si>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</si>
  <si>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</si>
  <si>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</si>
  <si>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</si>
  <si>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</si>
  <si>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</si>
  <si>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</si>
  <si>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</si>
  <si>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2u2</t>
  </si>
  <si>
    <t>TLV70218_SOT23-5</t>
  </si>
  <si>
    <t>UART</t>
  </si>
  <si>
    <t>0R</t>
  </si>
  <si>
    <t>5k1</t>
  </si>
  <si>
    <t>Debug</t>
  </si>
  <si>
    <t>Device</t>
  </si>
  <si>
    <t>Host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</si>
  <si>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</si>
  <si>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</si>
  <si>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</si>
  <si>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</si>
  <si>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</si>
  <si>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</si>
  <si>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</si>
  <si>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</si>
  <si>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</si>
  <si>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</si>
  <si>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</si>
  <si>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</si>
  <si>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2026-01-23 11:52:49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</si>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</sst>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0" borderId="0" xfId="0" applyFill="1" applyAlignment="1">
      <alignment horizontal="centerContinuous" vertical="center" wrapText="1"/>
    </xf>
    <xf numFmtId="0" fontId="0" fillId="11" borderId="0" xfId="0" applyFill="1"/>
    <xf numFmtId="0" fontId="0" fillId="12" borderId="0" xfId="0" applyFill="1"/>
    <xf numFmtId="0" fontId="12" fillId="13" borderId="0" xfId="0" applyFont="1" applyFill="1"/>
    <xf numFmtId="0" fontId="12" fillId="14" borderId="0" xfId="0" applyFont="1" applyFill="1"/>
    <xf numFmtId="0" fontId="0" fillId="15" borderId="0" xfId="0" applyFill="1"/>
    <xf numFmtId="0" fontId="13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://www.ti.com/lit/ds/symlink/tlv702.pdf" TargetMode="External"/><Relationship Id="rId3" Type="http://schemas.openxmlformats.org/officeDocument/2006/relationships/hyperlink" Target="https://cdn.amphenol-cs.com/media/wysiwyg/files/documentation/datasheet/boardwiretoboard/bwb_econostik_254headers.pdf" TargetMode="External"/><Relationship Id="rId4" Type="http://schemas.openxmlformats.org/officeDocument/2006/relationships/hyperlink" Target="https://www.mouser.de/datasheet/2/54/cr-1858361.pdf" TargetMode="External"/><Relationship Id="rId5" Type="http://schemas.openxmlformats.org/officeDocument/2006/relationships/hyperlink" Target="https://www.vishay.com/doc?20035" TargetMode="External"/><Relationship Id="rId6" Type="http://schemas.openxmlformats.org/officeDocument/2006/relationships/hyperlink" Target="https://www.we-online.com/components/products/datasheet/62101021021.pdf" TargetMode="External"/><Relationship Id="rId7" Type="http://schemas.openxmlformats.org/officeDocument/2006/relationships/hyperlink" Target="https://spec.globtek.info/spec/pdf/2342615/d2760418" TargetMode="External"/><Relationship Id="rId8" Type="http://schemas.openxmlformats.org/officeDocument/2006/relationships/hyperlink" Target="https://www.usb.org/sites/default/files/documents/usb_type-c.zi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://www.ti.com/lit/ds/symlink/tlv702.pdf" TargetMode="External"/><Relationship Id="rId3" Type="http://schemas.openxmlformats.org/officeDocument/2006/relationships/hyperlink" Target="https://cdn.amphenol-cs.com/media/wysiwyg/files/documentation/datasheet/boardwiretoboard/bwb_econostik_254headers.pdf" TargetMode="External"/><Relationship Id="rId4" Type="http://schemas.openxmlformats.org/officeDocument/2006/relationships/hyperlink" Target="https://www.mouser.de/datasheet/2/54/cr-1858361.pdf" TargetMode="External"/><Relationship Id="rId5" Type="http://schemas.openxmlformats.org/officeDocument/2006/relationships/hyperlink" Target="https://www.vishay.com/doc?20035" TargetMode="External"/><Relationship Id="rId6" Type="http://schemas.openxmlformats.org/officeDocument/2006/relationships/hyperlink" Target="https://www.we-online.com/components/products/datasheet/62101021021.pdf" TargetMode="External"/><Relationship Id="rId7" Type="http://schemas.openxmlformats.org/officeDocument/2006/relationships/hyperlink" Target="https://spec.globtek.info/spec/pdf/2342615/d2760418" TargetMode="External"/><Relationship Id="rId8" Type="http://schemas.openxmlformats.org/officeDocument/2006/relationships/hyperlink" Target="https://www.usb.org/sites/default/files/documents/usb_type-c.zip" TargetMode="External"/><Relationship Id="rId9" Type="http://schemas.openxmlformats.org/officeDocument/2006/relationships/hyperlink" Target="https://mouser.com/bom/" TargetMode="External"/><Relationship Id="rId10" Type="http://schemas.openxmlformats.org/officeDocument/2006/relationships/vmlDrawing" Target="../drawings/vmlDrawing1.vml"/><Relationship Id="rId1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0.7109375" customWidth="1"/>
    <col min="4" max="4" width="33.7109375" customWidth="1"/>
    <col min="5" max="5" width="28.7109375" customWidth="1"/>
    <col min="6" max="6" width="60.7109375" customWidth="1"/>
    <col min="7" max="7" width="44.7109375" customWidth="1"/>
    <col min="8" max="8" width="60.7109375" customWidth="1"/>
  </cols>
  <sheetData>
    <row r="1" spans="1:8" ht="32" customHeight="1">
      <c r="A1" s="1" t="s">
        <v>62</v>
      </c>
      <c r="B1" s="1"/>
      <c r="C1" s="1"/>
      <c r="D1" s="1"/>
      <c r="E1" s="1"/>
      <c r="F1" s="1"/>
      <c r="G1" s="1"/>
      <c r="H1" s="1"/>
    </row>
    <row r="2" spans="1:8">
      <c r="A2" s="2" t="s">
        <v>63</v>
      </c>
      <c r="B2" s="3" t="s">
        <v>64</v>
      </c>
      <c r="C2" s="2" t="s">
        <v>73</v>
      </c>
      <c r="D2" s="3">
        <v>8</v>
      </c>
    </row>
    <row r="3" spans="1:8">
      <c r="A3" s="2" t="s">
        <v>65</v>
      </c>
      <c r="B3" s="3" t="s">
        <v>66</v>
      </c>
      <c r="C3" s="2" t="s">
        <v>74</v>
      </c>
      <c r="D3" s="3" t="s">
        <v>75</v>
      </c>
    </row>
    <row r="4" spans="1:8">
      <c r="A4" s="2" t="s">
        <v>67</v>
      </c>
      <c r="B4" s="3" t="s">
        <v>68</v>
      </c>
      <c r="C4" s="2" t="s">
        <v>76</v>
      </c>
      <c r="D4" s="3" t="s">
        <v>75</v>
      </c>
    </row>
    <row r="5" spans="1:8">
      <c r="A5" s="2" t="s">
        <v>69</v>
      </c>
      <c r="B5" s="3" t="s">
        <v>70</v>
      </c>
      <c r="C5" s="2" t="s">
        <v>77</v>
      </c>
      <c r="D5" s="3">
        <v>1</v>
      </c>
    </row>
    <row r="6" spans="1:8">
      <c r="A6" s="2" t="s">
        <v>71</v>
      </c>
      <c r="B6" s="3" t="s">
        <v>72</v>
      </c>
      <c r="C6" s="2" t="s">
        <v>78</v>
      </c>
      <c r="D6" s="3">
        <v>10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8</v>
      </c>
      <c r="C9" s="6" t="s">
        <v>9</v>
      </c>
      <c r="D9" s="7" t="s">
        <v>10</v>
      </c>
      <c r="E9" s="7" t="s">
        <v>11</v>
      </c>
      <c r="F9" s="6" t="s">
        <v>12</v>
      </c>
      <c r="G9" s="6" t="s">
        <v>13</v>
      </c>
      <c r="H9" s="7" t="s">
        <v>14</v>
      </c>
    </row>
    <row r="10" spans="1:8" ht="30" customHeight="1">
      <c r="A10" s="8" t="s">
        <v>15</v>
      </c>
      <c r="B10" s="8" t="s">
        <v>8</v>
      </c>
      <c r="C10" s="9" t="s">
        <v>16</v>
      </c>
      <c r="D10" s="10" t="s">
        <v>17</v>
      </c>
      <c r="E10" s="10" t="s">
        <v>18</v>
      </c>
      <c r="F10" s="9" t="s">
        <v>19</v>
      </c>
      <c r="G10" s="9" t="s">
        <v>20</v>
      </c>
      <c r="H10" s="10" t="s">
        <v>21</v>
      </c>
    </row>
    <row r="11" spans="1:8" ht="30" customHeight="1">
      <c r="A11" s="5" t="s">
        <v>22</v>
      </c>
      <c r="B11" s="5" t="s">
        <v>15</v>
      </c>
      <c r="C11" s="6" t="s">
        <v>23</v>
      </c>
      <c r="D11" s="7" t="s">
        <v>24</v>
      </c>
      <c r="E11" s="7" t="s">
        <v>25</v>
      </c>
      <c r="F11" s="6" t="s">
        <v>26</v>
      </c>
      <c r="G11" s="6" t="s">
        <v>27</v>
      </c>
      <c r="H11" s="7" t="s">
        <v>28</v>
      </c>
    </row>
    <row r="12" spans="1:8">
      <c r="A12" s="8" t="s">
        <v>29</v>
      </c>
      <c r="B12" s="8" t="s">
        <v>8</v>
      </c>
      <c r="C12" s="9" t="s">
        <v>30</v>
      </c>
      <c r="D12" s="10" t="s">
        <v>31</v>
      </c>
      <c r="E12" s="10" t="s">
        <v>32</v>
      </c>
      <c r="F12" s="9" t="s">
        <v>33</v>
      </c>
      <c r="G12" s="9" t="s">
        <v>34</v>
      </c>
      <c r="H12" s="10" t="s">
        <v>35</v>
      </c>
    </row>
    <row r="13" spans="1:8">
      <c r="A13" s="5" t="s">
        <v>36</v>
      </c>
      <c r="B13" s="5" t="s">
        <v>15</v>
      </c>
      <c r="C13" s="6" t="s">
        <v>37</v>
      </c>
      <c r="D13" s="7" t="s">
        <v>38</v>
      </c>
      <c r="E13" s="7" t="s">
        <v>39</v>
      </c>
      <c r="F13" s="6" t="s">
        <v>40</v>
      </c>
      <c r="G13" s="6" t="s">
        <v>41</v>
      </c>
      <c r="H13" s="7" t="s">
        <v>35</v>
      </c>
    </row>
    <row r="14" spans="1:8" ht="30" customHeight="1">
      <c r="A14" s="8" t="s">
        <v>42</v>
      </c>
      <c r="B14" s="8" t="s">
        <v>8</v>
      </c>
      <c r="C14" s="9" t="s">
        <v>43</v>
      </c>
      <c r="D14" s="10" t="s">
        <v>44</v>
      </c>
      <c r="E14" s="10" t="s">
        <v>45</v>
      </c>
      <c r="F14" s="9" t="s">
        <v>46</v>
      </c>
      <c r="G14" s="9" t="s">
        <v>47</v>
      </c>
      <c r="H14" s="10" t="s">
        <v>48</v>
      </c>
    </row>
    <row r="15" spans="1:8">
      <c r="A15" s="5" t="s">
        <v>49</v>
      </c>
      <c r="B15" s="5" t="s">
        <v>8</v>
      </c>
      <c r="C15" s="6" t="s">
        <v>50</v>
      </c>
      <c r="D15" s="7" t="s">
        <v>51</v>
      </c>
      <c r="E15" s="7" t="s">
        <v>52</v>
      </c>
      <c r="F15" s="6" t="s">
        <v>53</v>
      </c>
      <c r="G15" s="6" t="s">
        <v>52</v>
      </c>
      <c r="H15" s="7" t="s">
        <v>54</v>
      </c>
    </row>
    <row r="16" spans="1:8" ht="30" customHeight="1">
      <c r="A16" s="8" t="s">
        <v>55</v>
      </c>
      <c r="B16" s="8" t="s">
        <v>8</v>
      </c>
      <c r="C16" s="9" t="s">
        <v>56</v>
      </c>
      <c r="D16" s="10" t="s">
        <v>57</v>
      </c>
      <c r="E16" s="10" t="s">
        <v>58</v>
      </c>
      <c r="F16" s="9" t="s">
        <v>59</v>
      </c>
      <c r="G16" s="9" t="s">
        <v>60</v>
      </c>
      <c r="H16" s="10" t="s">
        <v>61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16.7109375" customWidth="1"/>
    <col min="2" max="2" width="17.7109375" customWidth="1"/>
    <col min="3" max="3" width="40.7109375" customWidth="1" outlineLevel="2"/>
    <col min="4" max="4" width="29.7109375" customWidth="1" outlineLevel="1"/>
    <col min="5" max="5" width="24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62</v>
      </c>
      <c r="B1" s="1"/>
      <c r="C1" s="1"/>
      <c r="D1" s="1"/>
      <c r="E1" s="1"/>
      <c r="F1" s="1"/>
      <c r="G1" s="1"/>
      <c r="H1" s="1"/>
    </row>
    <row r="2" spans="1:14">
      <c r="A2" s="2" t="s">
        <v>63</v>
      </c>
      <c r="B2" s="3" t="s">
        <v>64</v>
      </c>
      <c r="G2" s="11" t="s">
        <v>102</v>
      </c>
      <c r="H2" s="11">
        <v>1</v>
      </c>
    </row>
    <row r="3" spans="1:14">
      <c r="A3" s="2" t="s">
        <v>65</v>
      </c>
      <c r="B3" s="3" t="s">
        <v>66</v>
      </c>
      <c r="G3" s="12" t="s">
        <v>104</v>
      </c>
      <c r="H3" s="13">
        <f>TotalCost/BoardQty</f>
        <v>0.0</v>
      </c>
    </row>
    <row r="4" spans="1:14">
      <c r="A4" s="2" t="s">
        <v>67</v>
      </c>
      <c r="B4" s="3" t="s">
        <v>68</v>
      </c>
      <c r="G4" s="12" t="s">
        <v>103</v>
      </c>
      <c r="H4" s="14">
        <f>SUM(H10:H17)</f>
        <v>0</v>
      </c>
      <c r="M4" s="14">
        <f>SUM(M10:M17)</f>
        <v>0</v>
      </c>
      <c r="N4" s="15" t="str">
        <f>(COUNTA(M10:M17)&amp;" of "&amp;ROWS(M10:M17)&amp;" parts found")</f>
        <v>0 of 8 parts found</v>
      </c>
    </row>
    <row r="5" spans="1:14">
      <c r="A5" s="2" t="s">
        <v>69</v>
      </c>
      <c r="B5" s="3" t="s">
        <v>70</v>
      </c>
    </row>
    <row r="6" spans="1:14">
      <c r="A6" s="2" t="s">
        <v>71</v>
      </c>
      <c r="B6" s="3" t="s">
        <v>72</v>
      </c>
    </row>
    <row r="8" spans="1:14">
      <c r="A8" s="16" t="s">
        <v>79</v>
      </c>
      <c r="B8" s="16"/>
      <c r="C8" s="16"/>
      <c r="D8" s="16"/>
      <c r="E8" s="16"/>
      <c r="F8" s="16"/>
      <c r="G8" s="16"/>
      <c r="H8" s="16"/>
      <c r="I8" s="17" t="s">
        <v>94</v>
      </c>
      <c r="J8" s="17"/>
      <c r="K8" s="17"/>
      <c r="L8" s="17"/>
      <c r="M8" s="17"/>
      <c r="N8" s="17"/>
    </row>
    <row r="9" spans="1:14">
      <c r="A9" s="18" t="s">
        <v>2</v>
      </c>
      <c r="B9" s="18" t="s">
        <v>80</v>
      </c>
      <c r="C9" s="18" t="s">
        <v>6</v>
      </c>
      <c r="D9" s="18" t="s">
        <v>81</v>
      </c>
      <c r="E9" s="18" t="s">
        <v>82</v>
      </c>
      <c r="F9" s="18" t="s">
        <v>83</v>
      </c>
      <c r="G9" s="18" t="s">
        <v>84</v>
      </c>
      <c r="H9" s="18" t="s">
        <v>85</v>
      </c>
      <c r="I9" s="18" t="s">
        <v>95</v>
      </c>
      <c r="J9" s="18" t="s">
        <v>96</v>
      </c>
      <c r="K9" s="18" t="s">
        <v>84</v>
      </c>
      <c r="L9" s="18" t="s">
        <v>97</v>
      </c>
      <c r="M9" s="18" t="s">
        <v>85</v>
      </c>
      <c r="N9" s="18" t="s">
        <v>98</v>
      </c>
    </row>
    <row r="10" spans="1:14">
      <c r="A10" s="19" t="s">
        <v>9</v>
      </c>
      <c r="B10" s="19" t="s">
        <v>86</v>
      </c>
      <c r="C10" s="19" t="s">
        <v>13</v>
      </c>
      <c r="D10" s="19" t="s">
        <v>10</v>
      </c>
      <c r="E10" s="19" t="s">
        <v>11</v>
      </c>
      <c r="F10" s="19">
        <f>BoardQty*1</f>
        <v>1</v>
      </c>
      <c r="G10" s="20">
        <f>IF(MIN(K10)&lt;&gt;0,MIN(K10),"")</f>
        <v/>
      </c>
      <c r="H10" s="21">
        <f>IF(AND(ISNUMBER(F10),ISNUMBER(G10)),F10*G10,"")</f>
        <v/>
      </c>
    </row>
    <row r="11" spans="1:14">
      <c r="A11" s="19" t="s">
        <v>16</v>
      </c>
      <c r="B11" s="19" t="s">
        <v>87</v>
      </c>
      <c r="C11" s="19" t="s">
        <v>20</v>
      </c>
      <c r="D11" s="19" t="s">
        <v>17</v>
      </c>
      <c r="E11" s="19" t="s">
        <v>18</v>
      </c>
      <c r="F11" s="19">
        <f>BoardQty*1</f>
        <v>1</v>
      </c>
      <c r="G11" s="20">
        <f>IF(MIN(K11)&lt;&gt;0,MIN(K11),"")</f>
        <v/>
      </c>
      <c r="H11" s="21">
        <f>IF(AND(ISNUMBER(F11),ISNUMBER(G11)),F11*G11,"")</f>
        <v/>
      </c>
    </row>
    <row r="12" spans="1:14">
      <c r="A12" s="19" t="s">
        <v>23</v>
      </c>
      <c r="B12" s="19" t="s">
        <v>88</v>
      </c>
      <c r="C12" s="19" t="s">
        <v>27</v>
      </c>
      <c r="D12" s="19" t="s">
        <v>24</v>
      </c>
      <c r="E12" s="19" t="s">
        <v>25</v>
      </c>
      <c r="F12" s="19">
        <f>CEILING(BoardQty*2,1)</f>
        <v>2</v>
      </c>
      <c r="G12" s="20">
        <f>IF(MIN(K12)&lt;&gt;0,MIN(K12),"")</f>
        <v/>
      </c>
      <c r="H12" s="21">
        <f>IF(AND(ISNUMBER(F12),ISNUMBER(G12)),F12*G12,"")</f>
        <v/>
      </c>
    </row>
    <row r="13" spans="1:14">
      <c r="A13" s="19" t="s">
        <v>30</v>
      </c>
      <c r="B13" s="19" t="s">
        <v>89</v>
      </c>
      <c r="C13" s="19" t="s">
        <v>34</v>
      </c>
      <c r="D13" s="19" t="s">
        <v>31</v>
      </c>
      <c r="E13" s="19" t="s">
        <v>32</v>
      </c>
      <c r="F13" s="19">
        <f>BoardQty*1</f>
        <v>1</v>
      </c>
      <c r="G13" s="20">
        <f>IF(MIN(K13)&lt;&gt;0,MIN(K13),"")</f>
        <v/>
      </c>
      <c r="H13" s="21">
        <f>IF(AND(ISNUMBER(F13),ISNUMBER(G13)),F13*G13,"")</f>
        <v/>
      </c>
    </row>
    <row r="14" spans="1:14">
      <c r="A14" s="19" t="s">
        <v>37</v>
      </c>
      <c r="B14" s="19" t="s">
        <v>90</v>
      </c>
      <c r="C14" s="19" t="s">
        <v>41</v>
      </c>
      <c r="D14" s="19" t="s">
        <v>38</v>
      </c>
      <c r="E14" s="19" t="s">
        <v>39</v>
      </c>
      <c r="F14" s="19">
        <f>CEILING(BoardQty*2,1)</f>
        <v>2</v>
      </c>
      <c r="G14" s="20">
        <f>IF(MIN(K14)&lt;&gt;0,MIN(K14),"")</f>
        <v/>
      </c>
      <c r="H14" s="21">
        <f>IF(AND(ISNUMBER(F14),ISNUMBER(G14)),F14*G14,"")</f>
        <v/>
      </c>
    </row>
    <row r="15" spans="1:14">
      <c r="A15" s="19" t="s">
        <v>43</v>
      </c>
      <c r="B15" s="19" t="s">
        <v>91</v>
      </c>
      <c r="C15" s="19" t="s">
        <v>47</v>
      </c>
      <c r="D15" s="19" t="s">
        <v>44</v>
      </c>
      <c r="E15" s="19" t="s">
        <v>45</v>
      </c>
      <c r="F15" s="19">
        <f>BoardQty*1</f>
        <v>1</v>
      </c>
      <c r="G15" s="20">
        <f>IF(MIN(K15)&lt;&gt;0,MIN(K15),"")</f>
        <v/>
      </c>
      <c r="H15" s="21">
        <f>IF(AND(ISNUMBER(F15),ISNUMBER(G15)),F15*G15,"")</f>
        <v/>
      </c>
    </row>
    <row r="16" spans="1:14">
      <c r="A16" s="19" t="s">
        <v>50</v>
      </c>
      <c r="B16" s="19" t="s">
        <v>92</v>
      </c>
      <c r="C16" s="19" t="s">
        <v>52</v>
      </c>
      <c r="D16" s="19" t="s">
        <v>51</v>
      </c>
      <c r="E16" s="19" t="s">
        <v>52</v>
      </c>
      <c r="F16" s="19">
        <f>BoardQty*1</f>
        <v>1</v>
      </c>
      <c r="G16" s="20">
        <f>IF(MIN(K16)&lt;&gt;0,MIN(K16),"")</f>
        <v/>
      </c>
      <c r="H16" s="21">
        <f>IF(AND(ISNUMBER(F16),ISNUMBER(G16)),F16*G16,"")</f>
        <v/>
      </c>
    </row>
    <row r="17" spans="1:13">
      <c r="A17" s="19" t="s">
        <v>56</v>
      </c>
      <c r="B17" s="19" t="s">
        <v>93</v>
      </c>
      <c r="C17" s="19" t="s">
        <v>60</v>
      </c>
      <c r="D17" s="19" t="s">
        <v>57</v>
      </c>
      <c r="E17" s="19" t="s">
        <v>58</v>
      </c>
      <c r="F17" s="19">
        <f>BoardQty*1</f>
        <v>1</v>
      </c>
      <c r="G17" s="20">
        <f>IF(MIN(K17)&lt;&gt;0,MIN(K17),"")</f>
        <v/>
      </c>
      <c r="H17" s="21">
        <f>IF(AND(ISNUMBER(F17),ISNUMBER(G17)),F17*G17,"")</f>
        <v/>
      </c>
    </row>
    <row r="19" spans="1:13">
      <c r="G19" s="12" t="s">
        <v>100</v>
      </c>
      <c r="H19" s="14">
        <f>SUM(M19)</f>
        <v>0</v>
      </c>
      <c r="I19" s="22" t="s">
        <v>99</v>
      </c>
      <c r="J19" s="15">
        <f>IFERROR(IF(COUNTIF(J10:J17,"&gt;0")&gt;0,COUNTIF(J10:J17,"&gt;0")&amp;" of "&amp;(ROWS(L10:L17)-COUNTBLANK(L10:L17))&amp;" parts purchased",""),"")</f>
        <v/>
      </c>
      <c r="M19" s="14">
        <f>SUMIF(J10:J17,"&gt;0",M10:M17)</f>
        <v>0</v>
      </c>
    </row>
    <row r="20" spans="1:13">
      <c r="A20" s="23" t="s">
        <v>105</v>
      </c>
      <c r="B20" s="24" t="s">
        <v>106</v>
      </c>
      <c r="G20" s="25" t="s">
        <v>101</v>
      </c>
      <c r="J20" s="26">
        <f>CONCATENATE(J29,J30,J31,J32,J33,J34,J35,J36)</f>
        <v/>
      </c>
    </row>
    <row r="21" spans="1:13">
      <c r="A21" s="27" t="s">
        <v>107</v>
      </c>
    </row>
    <row r="29" spans="1:13" ht="30" hidden="1" customHeight="1">
      <c r="J29" t="str">
        <f t="array" ref="J29:J36">IF(ISNUMBER(J10:J17)*(J10:J17&gt;=L10:L17)*(N10:N17&lt;&gt;""),N10:N17&amp;"|"&amp;TEXT(ROUNDUP(J10:J17/IF(ISNUMBER(L10:L17),L10:L17,1),0)*L10:L17,"##0")&amp;"|"&amp;SUBSTITUTE(SUBSTITUTE(SUBSTITUTE(IF(PURCHASE_DESCRIPTION&lt;&gt;"",PURCHASE_DESCRIPTION&amp;":","")&amp;A10:A17,"|",";")," ","_"),"
","_")&amp;CHAR(10),"")</f>
        <v/>
      </c>
    </row>
    <row r="30" spans="1:13" ht="30" hidden="1" customHeight="1">
      <c r="J30">
        <v>0</v>
      </c>
    </row>
    <row r="31" spans="1:13" ht="30" hidden="1" customHeight="1">
      <c r="J31">
        <v>0</v>
      </c>
    </row>
    <row r="32" spans="1:13" ht="30" hidden="1" customHeight="1">
      <c r="J32">
        <v>0</v>
      </c>
    </row>
    <row r="33" spans="10:10" ht="30" hidden="1" customHeight="1">
      <c r="J33">
        <v>0</v>
      </c>
    </row>
    <row r="34" spans="10:10" ht="30" hidden="1" customHeight="1">
      <c r="J34">
        <v>0</v>
      </c>
    </row>
    <row r="35" spans="10:10" ht="30" hidden="1" customHeight="1">
      <c r="J35">
        <v>0</v>
      </c>
    </row>
    <row r="36" spans="10:10" ht="30" hidden="1" customHeight="1">
      <c r="J36">
        <v>0</v>
      </c>
    </row>
  </sheetData>
  <mergeCells count="4">
    <mergeCell ref="A8:H8"/>
    <mergeCell ref="I8:N8"/>
    <mergeCell ref="J20:M28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I19" r:id="rId9"/>
  </hyperlinks>
  <pageMargins left="0.7" right="0.7" top="0.75" bottom="0.75" header="0.3" footer="0.3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108</v>
      </c>
    </row>
    <row r="2" spans="1:1">
      <c r="A2" s="6" t="s">
        <v>109</v>
      </c>
    </row>
    <row r="3" spans="1:1">
      <c r="A3" s="5" t="s">
        <v>110</v>
      </c>
    </row>
    <row r="4" spans="1:1">
      <c r="A4" s="7" t="s">
        <v>111</v>
      </c>
    </row>
    <row r="5" spans="1:1">
      <c r="A5" s="28" t="s">
        <v>112</v>
      </c>
    </row>
    <row r="7" spans="1:1">
      <c r="A7" t="s">
        <v>113</v>
      </c>
    </row>
    <row r="8" spans="1:1">
      <c r="A8" s="29" t="s">
        <v>114</v>
      </c>
    </row>
    <row r="9" spans="1:1">
      <c r="A9" s="30" t="s">
        <v>115</v>
      </c>
    </row>
    <row r="10" spans="1:1">
      <c r="A10" s="31" t="s">
        <v>116</v>
      </c>
    </row>
    <row r="11" spans="1:1">
      <c r="A11" s="32" t="s">
        <v>117</v>
      </c>
    </row>
    <row r="12" spans="1:1">
      <c r="A12" s="33" t="s">
        <v>118</v>
      </c>
    </row>
    <row r="13" spans="1:1">
      <c r="A13" s="34" t="s">
        <v>119</v>
      </c>
    </row>
    <row r="14" spans="1:1">
      <c r="A14" s="35" t="s">
        <v>120</v>
      </c>
    </row>
    <row r="15" spans="1:1">
      <c r="A15" s="36" t="s">
        <v>121</v>
      </c>
    </row>
    <row r="16" spans="1:1">
      <c r="A16" s="3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2026-01-23T11:52:49Z</dcterms:created>
  <dcterms:modified xsi:type="dcterms:W3CDTF">2026-01-23T11:52:49Z</dcterms:modified>
</cp:coreProperties>
</file>